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3f172441098b51/Desktop/Excel_first/"/>
    </mc:Choice>
  </mc:AlternateContent>
  <xr:revisionPtr revIDLastSave="0" documentId="8_{D3762795-6DE7-487B-9BAD-EEFD82822D72}" xr6:coauthVersionLast="47" xr6:coauthVersionMax="47" xr10:uidLastSave="{00000000-0000-0000-0000-000000000000}"/>
  <bookViews>
    <workbookView xWindow="-108" yWindow="-108" windowWidth="23256" windowHeight="13896" activeTab="2" xr2:uid="{E5A8AFDF-4C2B-4EF7-9F1C-64D71BC673BF}"/>
  </bookViews>
  <sheets>
    <sheet name="TEXT-FUNCTION" sheetId="1" r:id="rId1"/>
    <sheet name="DATE FUNCTION" sheetId="2" r:id="rId2"/>
    <sheet name="CONDITIONAL FUNC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3" l="1"/>
  <c r="L4" i="3"/>
  <c r="D11" i="2"/>
  <c r="D6" i="2"/>
  <c r="D5" i="2"/>
  <c r="D8" i="2" s="1"/>
  <c r="D4" i="2"/>
  <c r="D9" i="2" s="1"/>
  <c r="F7" i="1"/>
  <c r="C7" i="1"/>
  <c r="R3" i="1"/>
  <c r="O3" i="1"/>
  <c r="L3" i="1"/>
  <c r="H4" i="1"/>
  <c r="F4" i="1"/>
  <c r="E4" i="1"/>
  <c r="F3" i="1"/>
  <c r="C3" i="1"/>
  <c r="D10" i="2" l="1"/>
  <c r="F8" i="2"/>
  <c r="D7" i="2"/>
</calcChain>
</file>

<file path=xl/sharedStrings.xml><?xml version="1.0" encoding="utf-8"?>
<sst xmlns="http://schemas.openxmlformats.org/spreadsheetml/2006/main" count="54" uniqueCount="45">
  <si>
    <t>Shashi</t>
  </si>
  <si>
    <t xml:space="preserve"> shashi  </t>
  </si>
  <si>
    <t xml:space="preserve">raj </t>
  </si>
  <si>
    <t>patil</t>
  </si>
  <si>
    <t>left function</t>
  </si>
  <si>
    <t xml:space="preserve">concat function </t>
  </si>
  <si>
    <t>trim function</t>
  </si>
  <si>
    <t>length function</t>
  </si>
  <si>
    <t>shashi</t>
  </si>
  <si>
    <t>right function</t>
  </si>
  <si>
    <t>mid function</t>
  </si>
  <si>
    <t>upper function</t>
  </si>
  <si>
    <t>lower function</t>
  </si>
  <si>
    <t>SHASHI</t>
  </si>
  <si>
    <t>today</t>
  </si>
  <si>
    <t>now</t>
  </si>
  <si>
    <t>date</t>
  </si>
  <si>
    <t>year</t>
  </si>
  <si>
    <t>Date Fucntion</t>
  </si>
  <si>
    <t>text function</t>
  </si>
  <si>
    <t>month</t>
  </si>
  <si>
    <t>weekday</t>
  </si>
  <si>
    <t>weeknum</t>
  </si>
  <si>
    <t>text</t>
  </si>
  <si>
    <t>datediff</t>
  </si>
  <si>
    <t>krrish</t>
  </si>
  <si>
    <t>rohan</t>
  </si>
  <si>
    <t>rohit</t>
  </si>
  <si>
    <t>raj</t>
  </si>
  <si>
    <t>pooja</t>
  </si>
  <si>
    <t>riya</t>
  </si>
  <si>
    <t>siya</t>
  </si>
  <si>
    <t>rishi</t>
  </si>
  <si>
    <t>Mumbai</t>
  </si>
  <si>
    <t>Delhi</t>
  </si>
  <si>
    <t>Pune</t>
  </si>
  <si>
    <t>Nashik</t>
  </si>
  <si>
    <t>Roll No</t>
  </si>
  <si>
    <t>Name</t>
  </si>
  <si>
    <t>Marks</t>
  </si>
  <si>
    <t>City</t>
  </si>
  <si>
    <t>Grade</t>
  </si>
  <si>
    <t>Sum</t>
  </si>
  <si>
    <t>sumif</t>
  </si>
  <si>
    <t>sumifs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</si>
</sst>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911E11-08A8-4610-9FE4-6E5B4F891A9E}" name="Table1" displayName="Table1" ref="C4:G13" totalsRowShown="0">
  <autoFilter ref="C4:G13" xr:uid="{56911E11-08A8-4610-9FE4-6E5B4F891A9E}"/>
  <tableColumns count="5">
    <tableColumn id="1" xr3:uid="{A6B0653E-CA82-4432-A5F6-E15402ED067B}" name="Roll No"/>
    <tableColumn id="2" xr3:uid="{8AA466D1-E11F-4916-9D39-98595DA9EC44}" name="Name"/>
    <tableColumn id="3" xr3:uid="{DDCF7F64-66EB-44A0-9F8F-114B7E458AF7}" name="Marks"/>
    <tableColumn id="4" xr3:uid="{37185CD3-B0CF-4A69-985F-3B3920FCA87E}" name="City"/>
    <tableColumn id="5" xr3:uid="{37AE3DF9-4CBA-4A3F-A87D-31BC5F9E22E6}" name="Gra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F4F39-C8B0-424F-87F7-D50B9C9E0E44}">
  <dimension ref="A1:R7"/>
  <sheetViews>
    <sheetView workbookViewId="0">
      <selection activeCell="G6" sqref="G6:K14"/>
    </sheetView>
  </sheetViews>
  <sheetFormatPr defaultRowHeight="14.4" x14ac:dyDescent="0.3"/>
  <cols>
    <col min="9" max="9" width="15.44140625" bestFit="1" customWidth="1"/>
  </cols>
  <sheetData>
    <row r="1" spans="1:18" x14ac:dyDescent="0.3">
      <c r="A1" t="s">
        <v>19</v>
      </c>
    </row>
    <row r="2" spans="1:18" x14ac:dyDescent="0.3">
      <c r="B2" s="1" t="s">
        <v>7</v>
      </c>
      <c r="C2" s="1"/>
      <c r="E2" s="1" t="s">
        <v>6</v>
      </c>
      <c r="F2" s="1"/>
      <c r="H2" s="1" t="s">
        <v>5</v>
      </c>
      <c r="I2" s="1"/>
      <c r="K2" s="1" t="s">
        <v>4</v>
      </c>
      <c r="L2" s="1"/>
      <c r="N2" s="1" t="s">
        <v>9</v>
      </c>
      <c r="O2" s="1"/>
      <c r="Q2" s="1" t="s">
        <v>10</v>
      </c>
      <c r="R2" s="1"/>
    </row>
    <row r="3" spans="1:18" x14ac:dyDescent="0.3">
      <c r="B3" s="2" t="s">
        <v>0</v>
      </c>
      <c r="C3" s="2">
        <f>LEN(B3)</f>
        <v>6</v>
      </c>
      <c r="E3" s="2" t="s">
        <v>1</v>
      </c>
      <c r="F3" s="2" t="str">
        <f>TRIM(E3)</f>
        <v>shashi</v>
      </c>
      <c r="H3" s="2" t="s">
        <v>2</v>
      </c>
      <c r="I3" s="2" t="s">
        <v>3</v>
      </c>
      <c r="K3" s="2" t="s">
        <v>8</v>
      </c>
      <c r="L3" s="2" t="str">
        <f>LEFT(K3,3)</f>
        <v>sha</v>
      </c>
      <c r="N3" s="2" t="s">
        <v>8</v>
      </c>
      <c r="O3" s="2" t="str">
        <f>RIGHT(N3,3)</f>
        <v>shi</v>
      </c>
      <c r="Q3" s="2" t="s">
        <v>8</v>
      </c>
      <c r="R3" s="2" t="str">
        <f>MID(Q3,2,3)</f>
        <v>has</v>
      </c>
    </row>
    <row r="4" spans="1:18" x14ac:dyDescent="0.3">
      <c r="E4" s="2">
        <f>LEN(E3)</f>
        <v>9</v>
      </c>
      <c r="F4" s="2">
        <f>LEN(F3)</f>
        <v>6</v>
      </c>
      <c r="H4" s="1" t="str">
        <f>_xlfn.CONCAT(H3,I3)</f>
        <v>raj patil</v>
      </c>
      <c r="I4" s="1"/>
    </row>
    <row r="6" spans="1:18" x14ac:dyDescent="0.3">
      <c r="B6" s="1" t="s">
        <v>11</v>
      </c>
      <c r="C6" s="1"/>
      <c r="E6" s="1" t="s">
        <v>12</v>
      </c>
      <c r="F6" s="1"/>
    </row>
    <row r="7" spans="1:18" x14ac:dyDescent="0.3">
      <c r="B7" s="2" t="s">
        <v>8</v>
      </c>
      <c r="C7" s="2" t="str">
        <f>UPPER(B7)</f>
        <v>SHASHI</v>
      </c>
      <c r="E7" s="2" t="s">
        <v>13</v>
      </c>
      <c r="F7" s="2" t="str">
        <f>LOWER(E7)</f>
        <v>shashi</v>
      </c>
    </row>
  </sheetData>
  <mergeCells count="9">
    <mergeCell ref="Q2:R2"/>
    <mergeCell ref="K2:L2"/>
    <mergeCell ref="B6:C6"/>
    <mergeCell ref="E6:F6"/>
    <mergeCell ref="B2:C2"/>
    <mergeCell ref="E2:F2"/>
    <mergeCell ref="H2:I2"/>
    <mergeCell ref="H4:I4"/>
    <mergeCell ref="N2:O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03C94-6030-452F-B751-98AD7E1CD18E}">
  <dimension ref="C3:F11"/>
  <sheetViews>
    <sheetView topLeftCell="A3" workbookViewId="0">
      <selection activeCell="D12" sqref="D12"/>
    </sheetView>
  </sheetViews>
  <sheetFormatPr defaultRowHeight="14.4" x14ac:dyDescent="0.3"/>
  <cols>
    <col min="4" max="4" width="16.6640625" customWidth="1"/>
  </cols>
  <sheetData>
    <row r="3" spans="3:6" x14ac:dyDescent="0.3">
      <c r="C3" t="s">
        <v>18</v>
      </c>
    </row>
    <row r="4" spans="3:6" x14ac:dyDescent="0.3">
      <c r="C4" t="s">
        <v>14</v>
      </c>
      <c r="D4" s="3">
        <f ca="1">TODAY()</f>
        <v>46303</v>
      </c>
    </row>
    <row r="5" spans="3:6" x14ac:dyDescent="0.3">
      <c r="C5" t="s">
        <v>15</v>
      </c>
      <c r="D5" s="4">
        <f ca="1">NOW()</f>
        <v>46303.851437152778</v>
      </c>
    </row>
    <row r="6" spans="3:6" x14ac:dyDescent="0.3">
      <c r="C6" t="s">
        <v>16</v>
      </c>
      <c r="D6" s="3">
        <f>DATE(2029,12,23)</f>
        <v>47475</v>
      </c>
    </row>
    <row r="7" spans="3:6" x14ac:dyDescent="0.3">
      <c r="C7" t="s">
        <v>17</v>
      </c>
      <c r="D7">
        <f ca="1">YEAR(D4)</f>
        <v>2026</v>
      </c>
    </row>
    <row r="8" spans="3:6" x14ac:dyDescent="0.3">
      <c r="C8" t="s">
        <v>20</v>
      </c>
      <c r="D8">
        <f ca="1">MONTH(D5)</f>
        <v>10</v>
      </c>
      <c r="E8" t="s">
        <v>23</v>
      </c>
      <c r="F8" t="str">
        <f ca="1">TEXT(D4,"MMMM")</f>
        <v>October</v>
      </c>
    </row>
    <row r="9" spans="3:6" x14ac:dyDescent="0.3">
      <c r="C9" t="s">
        <v>21</v>
      </c>
      <c r="D9">
        <f ca="1">WEEKDAY(D4)</f>
        <v>5</v>
      </c>
    </row>
    <row r="10" spans="3:6" x14ac:dyDescent="0.3">
      <c r="C10" t="s">
        <v>22</v>
      </c>
      <c r="D10">
        <f ca="1">WEEKNUM(D4)</f>
        <v>41</v>
      </c>
    </row>
    <row r="11" spans="3:6" x14ac:dyDescent="0.3">
      <c r="C11" t="s">
        <v>24</v>
      </c>
      <c r="D11">
        <f>DATEDIF("10/6/2006","08/10/2026","Y")</f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0CE97-5069-4B2C-852A-A81206AF3003}">
  <dimension ref="C4:L13"/>
  <sheetViews>
    <sheetView tabSelected="1" workbookViewId="0">
      <selection activeCell="O10" sqref="O10"/>
    </sheetView>
  </sheetViews>
  <sheetFormatPr defaultRowHeight="14.4" x14ac:dyDescent="0.3"/>
  <sheetData>
    <row r="4" spans="3:12" x14ac:dyDescent="0.3">
      <c r="C4" t="s">
        <v>37</v>
      </c>
      <c r="D4" t="s">
        <v>38</v>
      </c>
      <c r="E4" t="s">
        <v>39</v>
      </c>
      <c r="F4" t="s">
        <v>40</v>
      </c>
      <c r="G4" t="s">
        <v>41</v>
      </c>
      <c r="K4" t="s">
        <v>42</v>
      </c>
      <c r="L4">
        <f>SUM(Table1[Marks])</f>
        <v>708</v>
      </c>
    </row>
    <row r="5" spans="3:12" x14ac:dyDescent="0.3">
      <c r="C5">
        <v>11</v>
      </c>
      <c r="D5" t="s">
        <v>8</v>
      </c>
      <c r="E5">
        <v>56</v>
      </c>
      <c r="F5" t="s">
        <v>33</v>
      </c>
      <c r="K5" t="s">
        <v>43</v>
      </c>
      <c r="L5">
        <f>SUMIF(Table1[City],"Mumbai",Table1[Marks])</f>
        <v>201</v>
      </c>
    </row>
    <row r="6" spans="3:12" x14ac:dyDescent="0.3">
      <c r="C6">
        <v>12</v>
      </c>
      <c r="D6" t="s">
        <v>25</v>
      </c>
      <c r="E6">
        <v>87</v>
      </c>
      <c r="F6" t="s">
        <v>34</v>
      </c>
      <c r="K6" t="s">
        <v>44</v>
      </c>
    </row>
    <row r="7" spans="3:12" x14ac:dyDescent="0.3">
      <c r="C7">
        <v>13</v>
      </c>
      <c r="D7" t="s">
        <v>26</v>
      </c>
      <c r="E7">
        <v>89</v>
      </c>
      <c r="F7" t="s">
        <v>33</v>
      </c>
    </row>
    <row r="8" spans="3:12" x14ac:dyDescent="0.3">
      <c r="C8">
        <v>14</v>
      </c>
      <c r="D8" t="s">
        <v>27</v>
      </c>
      <c r="E8">
        <v>78</v>
      </c>
      <c r="F8" t="s">
        <v>35</v>
      </c>
    </row>
    <row r="9" spans="3:12" x14ac:dyDescent="0.3">
      <c r="C9">
        <v>15</v>
      </c>
      <c r="D9" t="s">
        <v>28</v>
      </c>
      <c r="E9">
        <v>90</v>
      </c>
      <c r="F9" t="s">
        <v>36</v>
      </c>
    </row>
    <row r="10" spans="3:12" x14ac:dyDescent="0.3">
      <c r="C10">
        <v>16</v>
      </c>
      <c r="D10" t="s">
        <v>29</v>
      </c>
      <c r="E10">
        <v>99</v>
      </c>
      <c r="F10" t="s">
        <v>35</v>
      </c>
    </row>
    <row r="11" spans="3:12" x14ac:dyDescent="0.3">
      <c r="C11">
        <v>17</v>
      </c>
      <c r="D11" t="s">
        <v>30</v>
      </c>
      <c r="E11">
        <v>77</v>
      </c>
      <c r="F11" t="s">
        <v>34</v>
      </c>
    </row>
    <row r="12" spans="3:12" x14ac:dyDescent="0.3">
      <c r="C12">
        <v>18</v>
      </c>
      <c r="D12" t="s">
        <v>31</v>
      </c>
      <c r="E12">
        <v>56</v>
      </c>
      <c r="F12" t="s">
        <v>33</v>
      </c>
    </row>
    <row r="13" spans="3:12" x14ac:dyDescent="0.3">
      <c r="C13">
        <v>19</v>
      </c>
      <c r="D13" t="s">
        <v>32</v>
      </c>
      <c r="E13">
        <v>76</v>
      </c>
      <c r="F13" t="s">
        <v>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TEXT-FUNCTION</vt:lpstr>
      <vt:lpstr>DATE FUNCTION</vt:lpstr>
      <vt:lpstr>CONDITIONAL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 chaudhari</dc:creator>
  <cp:lastModifiedBy>shashi chaudhari</cp:lastModifiedBy>
  <dcterms:created xsi:type="dcterms:W3CDTF">2026-10-08T14:11:31Z</dcterms:created>
  <dcterms:modified xsi:type="dcterms:W3CDTF">2026-10-08T14:56:32Z</dcterms:modified>
</cp:coreProperties>
</file>