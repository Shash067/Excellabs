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3f172441098b51/Desktop/Excel_first/"/>
    </mc:Choice>
  </mc:AlternateContent>
  <xr:revisionPtr revIDLastSave="299" documentId="8_{D3762795-6DE7-487B-9BAD-EEFD82822D72}" xr6:coauthVersionLast="47" xr6:coauthVersionMax="47" xr10:uidLastSave="{8AC89F8C-A68D-4E9F-BE24-43349833170F}"/>
  <bookViews>
    <workbookView xWindow="-108" yWindow="-108" windowWidth="23256" windowHeight="13896" activeTab="3" xr2:uid="{E5A8AFDF-4C2B-4EF7-9F1C-64D71BC673BF}"/>
  </bookViews>
  <sheets>
    <sheet name="TEXT-FUNCTION" sheetId="1" r:id="rId1"/>
    <sheet name="DATE FUNCTION" sheetId="2" r:id="rId2"/>
    <sheet name="CONDITIONAL FUNCTION" sheetId="3" r:id="rId3"/>
    <sheet name="Sheet1" sheetId="4" r:id="rId4"/>
    <sheet name="index-match fucn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N14" i="4"/>
  <c r="N15" i="4"/>
  <c r="M10" i="4"/>
  <c r="R5" i="4"/>
  <c r="M7" i="4"/>
  <c r="L7" i="4"/>
  <c r="R3" i="4"/>
  <c r="R4" i="4"/>
  <c r="J22" i="4"/>
  <c r="E15" i="4"/>
  <c r="D17" i="3"/>
  <c r="C17" i="3"/>
  <c r="J5" i="3"/>
  <c r="J6" i="3"/>
  <c r="J7" i="3"/>
  <c r="J8" i="3"/>
  <c r="J9" i="3"/>
  <c r="J10" i="3"/>
  <c r="J11" i="3"/>
  <c r="J12" i="3"/>
  <c r="J13" i="3"/>
  <c r="I5" i="3"/>
  <c r="I6" i="3"/>
  <c r="I7" i="3"/>
  <c r="I8" i="3"/>
  <c r="I9" i="3"/>
  <c r="I10" i="3"/>
  <c r="I11" i="3"/>
  <c r="I12" i="3"/>
  <c r="I13" i="3"/>
  <c r="H5" i="3"/>
  <c r="H6" i="3"/>
  <c r="H7" i="3"/>
  <c r="H8" i="3"/>
  <c r="H9" i="3"/>
  <c r="H10" i="3"/>
  <c r="H11" i="3"/>
  <c r="H12" i="3"/>
  <c r="H13" i="3"/>
  <c r="G5" i="3"/>
  <c r="G6" i="3"/>
  <c r="G7" i="3"/>
  <c r="G8" i="3"/>
  <c r="G9" i="3"/>
  <c r="G10" i="3"/>
  <c r="G11" i="3"/>
  <c r="G12" i="3"/>
  <c r="G13" i="3"/>
  <c r="P11" i="3"/>
  <c r="P10" i="3"/>
  <c r="P9" i="3"/>
  <c r="P8" i="3"/>
  <c r="P7" i="3"/>
  <c r="P6" i="3"/>
  <c r="P5" i="3"/>
  <c r="P4" i="3"/>
  <c r="D11" i="2"/>
  <c r="D6" i="2"/>
  <c r="D5" i="2"/>
  <c r="D8" i="2" s="1"/>
  <c r="D4" i="2"/>
  <c r="D9" i="2" s="1"/>
  <c r="F7" i="1"/>
  <c r="C7" i="1"/>
  <c r="R3" i="1"/>
  <c r="O3" i="1"/>
  <c r="L3" i="1"/>
  <c r="H4" i="1"/>
  <c r="F4" i="1"/>
  <c r="E4" i="1"/>
  <c r="F3" i="1"/>
  <c r="C3" i="1"/>
  <c r="D10" i="2" l="1"/>
  <c r="F8" i="2"/>
  <c r="D7" i="2"/>
</calcChain>
</file>

<file path=xl/sharedStrings.xml><?xml version="1.0" encoding="utf-8"?>
<sst xmlns="http://schemas.openxmlformats.org/spreadsheetml/2006/main" count="168" uniqueCount="93">
  <si>
    <t>Shashi</t>
  </si>
  <si>
    <t xml:space="preserve"> shashi  </t>
  </si>
  <si>
    <t xml:space="preserve">raj </t>
  </si>
  <si>
    <t>patil</t>
  </si>
  <si>
    <t>left function</t>
  </si>
  <si>
    <t xml:space="preserve">concat function </t>
  </si>
  <si>
    <t>trim function</t>
  </si>
  <si>
    <t>length function</t>
  </si>
  <si>
    <t>shashi</t>
  </si>
  <si>
    <t>right function</t>
  </si>
  <si>
    <t>mid function</t>
  </si>
  <si>
    <t>upper function</t>
  </si>
  <si>
    <t>lower function</t>
  </si>
  <si>
    <t>SHASHI</t>
  </si>
  <si>
    <t>today</t>
  </si>
  <si>
    <t>now</t>
  </si>
  <si>
    <t>date</t>
  </si>
  <si>
    <t>year</t>
  </si>
  <si>
    <t>Date Fucntion</t>
  </si>
  <si>
    <t>text function</t>
  </si>
  <si>
    <t>month</t>
  </si>
  <si>
    <t>weekday</t>
  </si>
  <si>
    <t>weeknum</t>
  </si>
  <si>
    <t>text</t>
  </si>
  <si>
    <t>datediff</t>
  </si>
  <si>
    <t>krrish</t>
  </si>
  <si>
    <t>rohan</t>
  </si>
  <si>
    <t>rohit</t>
  </si>
  <si>
    <t>raj</t>
  </si>
  <si>
    <t>pooja</t>
  </si>
  <si>
    <t>riya</t>
  </si>
  <si>
    <t>siya</t>
  </si>
  <si>
    <t>rishi</t>
  </si>
  <si>
    <t>Mumbai</t>
  </si>
  <si>
    <t>Delhi</t>
  </si>
  <si>
    <t>Pune</t>
  </si>
  <si>
    <t>Nashik</t>
  </si>
  <si>
    <t>Roll No</t>
  </si>
  <si>
    <t>Name</t>
  </si>
  <si>
    <t>Marks</t>
  </si>
  <si>
    <t>City</t>
  </si>
  <si>
    <t>Grade</t>
  </si>
  <si>
    <t>Sum</t>
  </si>
  <si>
    <t>sumif</t>
  </si>
  <si>
    <t>sumifs</t>
  </si>
  <si>
    <t>Average</t>
  </si>
  <si>
    <t>Averageif</t>
  </si>
  <si>
    <t>count</t>
  </si>
  <si>
    <t>counta</t>
  </si>
  <si>
    <t>countblank</t>
  </si>
  <si>
    <t>Result</t>
  </si>
  <si>
    <t>And</t>
  </si>
  <si>
    <t>0r</t>
  </si>
  <si>
    <t>if error</t>
  </si>
  <si>
    <t>Category</t>
  </si>
  <si>
    <t>Region</t>
  </si>
  <si>
    <t>Month</t>
  </si>
  <si>
    <t>Year</t>
  </si>
  <si>
    <t>Product</t>
  </si>
  <si>
    <t>Sales</t>
  </si>
  <si>
    <t>Score</t>
  </si>
  <si>
    <t>Electronics</t>
  </si>
  <si>
    <t>North</t>
  </si>
  <si>
    <t>January</t>
  </si>
  <si>
    <t>Product A</t>
  </si>
  <si>
    <t>Product B</t>
  </si>
  <si>
    <t>Product C</t>
  </si>
  <si>
    <t>February</t>
  </si>
  <si>
    <t>March</t>
  </si>
  <si>
    <t>April</t>
  </si>
  <si>
    <t>South</t>
  </si>
  <si>
    <t>East</t>
  </si>
  <si>
    <t>Clothing</t>
  </si>
  <si>
    <t>Employe ID</t>
  </si>
  <si>
    <t>Alice</t>
  </si>
  <si>
    <t>Bob</t>
  </si>
  <si>
    <t>Carol</t>
  </si>
  <si>
    <t>David</t>
  </si>
  <si>
    <t>Eva</t>
  </si>
  <si>
    <t>Frank</t>
  </si>
  <si>
    <t>Grace</t>
  </si>
  <si>
    <t>Sales ($)</t>
  </si>
  <si>
    <t>Insentive</t>
  </si>
  <si>
    <t>Approx. match</t>
  </si>
  <si>
    <t>Vlookup-Exact Match</t>
  </si>
  <si>
    <t>INDEX</t>
  </si>
  <si>
    <t>Match</t>
  </si>
  <si>
    <t>MATCH</t>
  </si>
  <si>
    <t>INDEX &amp; MATCH function</t>
  </si>
  <si>
    <t>score</t>
  </si>
  <si>
    <t>Dynamic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</si>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</sst>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/>
    <xf numFmtId="0" fontId="0" fillId="0" borderId="4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11E11-08A8-4610-9FE4-6E5B4F891A9E}" name="Table1" displayName="Table1" ref="C4:J13" totalsRowShown="0">
  <autoFilter ref="C4:J13" xr:uid="{56911E11-08A8-4610-9FE4-6E5B4F891A9E}"/>
  <tableColumns count="8">
    <tableColumn id="1" xr3:uid="{A6B0653E-CA82-4432-A5F6-E15402ED067B}" name="Roll No"/>
    <tableColumn id="2" xr3:uid="{8AA466D1-E11F-4916-9D39-98595DA9EC44}" name="Name"/>
    <tableColumn id="3" xr3:uid="{DDCF7F64-66EB-44A0-9F8F-114B7E458AF7}" name="Marks"/>
    <tableColumn id="4" xr3:uid="{37185CD3-B0CF-4A69-985F-3B3920FCA87E}" name="City"/>
    <tableColumn id="5" xr3:uid="{37AE3DF9-4CBA-4A3F-A87D-31BC5F9E22E6}" name="Result" dataDxfId="3">
      <calculatedColumnFormula>IF(Table1[[#This Row],[Marks]]&gt;=40,"Pass","Fail")</calculatedColumnFormula>
    </tableColumn>
    <tableColumn id="6" xr3:uid="{EA2F3D91-D920-463C-B54E-953C6D49CBF3}" name="Grade" dataDxfId="2">
      <calculatedColumnFormula>IF(Table1[[#This Row],[Marks]]&gt;90,"A",IF(Table1[[#This Row],[Marks]]&gt;80,"B",IF(Table1[[#This Row],[Marks]]&gt;60,"C",IF(Table1[[#This Row],[Marks]]&gt;50,"D","F"))))</calculatedColumnFormula>
    </tableColumn>
    <tableColumn id="7" xr3:uid="{62B22A3C-95D6-4E3B-8BA3-2B9B0D1A11C2}" name="And" dataDxfId="1">
      <calculatedColumnFormula>AND(Table1[[#This Row],[Marks]]&gt;80,Table1[[#This Row],[City]]="Mumbai")</calculatedColumnFormula>
    </tableColumn>
    <tableColumn id="8" xr3:uid="{BE70939C-AF73-4C6C-AF2C-1BF9B0DFECF3}" name="0r" dataDxfId="0">
      <calculatedColumnFormula>OR(Table1[[#This Row],[Marks]]&gt;80,Table1[[#This Row],[City]]="Mumbai")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4F39-C8B0-424F-87F7-D50B9C9E0E44}">
  <dimension ref="A1:R7"/>
  <sheetViews>
    <sheetView workbookViewId="0">
      <selection activeCell="M9" sqref="M9"/>
    </sheetView>
  </sheetViews>
  <sheetFormatPr defaultRowHeight="14.4" x14ac:dyDescent="0.3"/>
  <cols>
    <col min="9" max="9" width="15.44140625" bestFit="1" customWidth="1"/>
  </cols>
  <sheetData>
    <row r="1" spans="1:18" x14ac:dyDescent="0.3">
      <c r="A1" t="s">
        <v>19</v>
      </c>
    </row>
    <row r="2" spans="1:18" x14ac:dyDescent="0.3">
      <c r="B2" s="5" t="s">
        <v>7</v>
      </c>
      <c r="C2" s="5"/>
      <c r="E2" s="5" t="s">
        <v>6</v>
      </c>
      <c r="F2" s="5"/>
      <c r="H2" s="5" t="s">
        <v>5</v>
      </c>
      <c r="I2" s="5"/>
      <c r="K2" s="5" t="s">
        <v>4</v>
      </c>
      <c r="L2" s="5"/>
      <c r="N2" s="5" t="s">
        <v>9</v>
      </c>
      <c r="O2" s="5"/>
      <c r="Q2" s="5" t="s">
        <v>10</v>
      </c>
      <c r="R2" s="5"/>
    </row>
    <row r="3" spans="1:18" x14ac:dyDescent="0.3">
      <c r="B3" s="1" t="s">
        <v>0</v>
      </c>
      <c r="C3" s="1">
        <f>LEN(B3)</f>
        <v>6</v>
      </c>
      <c r="E3" s="1" t="s">
        <v>1</v>
      </c>
      <c r="F3" s="1" t="str">
        <f>TRIM(E3)</f>
        <v>shashi</v>
      </c>
      <c r="H3" s="1" t="s">
        <v>2</v>
      </c>
      <c r="I3" s="1" t="s">
        <v>3</v>
      </c>
      <c r="K3" s="1" t="s">
        <v>8</v>
      </c>
      <c r="L3" s="1" t="str">
        <f>LEFT(K3,3)</f>
        <v>sha</v>
      </c>
      <c r="N3" s="1" t="s">
        <v>8</v>
      </c>
      <c r="O3" s="1" t="str">
        <f>RIGHT(N3,3)</f>
        <v>shi</v>
      </c>
      <c r="Q3" s="1" t="s">
        <v>8</v>
      </c>
      <c r="R3" s="1" t="str">
        <f>MID(Q3,2,3)</f>
        <v>has</v>
      </c>
    </row>
    <row r="4" spans="1:18" x14ac:dyDescent="0.3">
      <c r="E4" s="1">
        <f>LEN(E3)</f>
        <v>9</v>
      </c>
      <c r="F4" s="1">
        <f>LEN(F3)</f>
        <v>6</v>
      </c>
      <c r="H4" s="5" t="str">
        <f>_xlfn.CONCAT(H3,I3)</f>
        <v>raj patil</v>
      </c>
      <c r="I4" s="5"/>
    </row>
    <row r="6" spans="1:18" x14ac:dyDescent="0.3">
      <c r="B6" s="5" t="s">
        <v>11</v>
      </c>
      <c r="C6" s="5"/>
      <c r="E6" s="5" t="s">
        <v>12</v>
      </c>
      <c r="F6" s="5"/>
    </row>
    <row r="7" spans="1:18" x14ac:dyDescent="0.3">
      <c r="B7" s="1" t="s">
        <v>8</v>
      </c>
      <c r="C7" s="1" t="str">
        <f>UPPER(B7)</f>
        <v>SHASHI</v>
      </c>
      <c r="E7" s="1" t="s">
        <v>13</v>
      </c>
      <c r="F7" s="1" t="str">
        <f>LOWER(E7)</f>
        <v>shashi</v>
      </c>
    </row>
  </sheetData>
  <mergeCells count="9">
    <mergeCell ref="Q2:R2"/>
    <mergeCell ref="K2:L2"/>
    <mergeCell ref="B6:C6"/>
    <mergeCell ref="E6:F6"/>
    <mergeCell ref="B2:C2"/>
    <mergeCell ref="E2:F2"/>
    <mergeCell ref="H2:I2"/>
    <mergeCell ref="H4:I4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3C94-6030-452F-B751-98AD7E1CD18E}">
  <dimension ref="C3:F11"/>
  <sheetViews>
    <sheetView workbookViewId="0">
      <selection activeCell="D12" sqref="D12"/>
    </sheetView>
  </sheetViews>
  <sheetFormatPr defaultRowHeight="14.4" x14ac:dyDescent="0.3"/>
  <cols>
    <col min="4" max="4" width="16.6640625" customWidth="1"/>
  </cols>
  <sheetData>
    <row r="3" spans="3:6" x14ac:dyDescent="0.3">
      <c r="C3" t="s">
        <v>18</v>
      </c>
    </row>
    <row r="4" spans="3:6" x14ac:dyDescent="0.3">
      <c r="C4" t="s">
        <v>14</v>
      </c>
      <c r="D4" s="2">
        <f ca="1">TODAY()</f>
        <v>46307</v>
      </c>
    </row>
    <row r="5" spans="3:6" x14ac:dyDescent="0.3">
      <c r="C5" t="s">
        <v>15</v>
      </c>
      <c r="D5" s="3">
        <f ca="1">NOW()</f>
        <v>46307.865766435185</v>
      </c>
    </row>
    <row r="6" spans="3:6" x14ac:dyDescent="0.3">
      <c r="C6" t="s">
        <v>16</v>
      </c>
      <c r="D6" s="2">
        <f>DATE(2029,12,23)</f>
        <v>47475</v>
      </c>
    </row>
    <row r="7" spans="3:6" x14ac:dyDescent="0.3">
      <c r="C7" t="s">
        <v>17</v>
      </c>
      <c r="D7">
        <f ca="1">YEAR(D4)</f>
        <v>2026</v>
      </c>
    </row>
    <row r="8" spans="3:6" x14ac:dyDescent="0.3">
      <c r="C8" t="s">
        <v>20</v>
      </c>
      <c r="D8">
        <f ca="1">MONTH(D5)</f>
        <v>10</v>
      </c>
      <c r="E8" t="s">
        <v>23</v>
      </c>
      <c r="F8" t="str">
        <f ca="1">TEXT(D4,"MMMM")</f>
        <v>October</v>
      </c>
    </row>
    <row r="9" spans="3:6" x14ac:dyDescent="0.3">
      <c r="C9" t="s">
        <v>21</v>
      </c>
      <c r="D9">
        <f ca="1">WEEKDAY(D4)</f>
        <v>2</v>
      </c>
    </row>
    <row r="10" spans="3:6" x14ac:dyDescent="0.3">
      <c r="C10" t="s">
        <v>22</v>
      </c>
      <c r="D10">
        <f ca="1">WEEKNUM(D4)</f>
        <v>42</v>
      </c>
    </row>
    <row r="11" spans="3:6" x14ac:dyDescent="0.3">
      <c r="C11" t="s">
        <v>24</v>
      </c>
      <c r="D11">
        <f>DATEDIF("10/6/2006","08/10/2026","Y")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CE97-5069-4B2C-852A-A81206AF3003}">
  <dimension ref="C4:P17"/>
  <sheetViews>
    <sheetView workbookViewId="0">
      <selection activeCell="I20" sqref="I20"/>
    </sheetView>
  </sheetViews>
  <sheetFormatPr defaultRowHeight="14.4" x14ac:dyDescent="0.3"/>
  <cols>
    <col min="11" max="11" width="11.6640625" customWidth="1"/>
  </cols>
  <sheetData>
    <row r="4" spans="3:16" x14ac:dyDescent="0.3">
      <c r="C4" t="s">
        <v>37</v>
      </c>
      <c r="D4" t="s">
        <v>38</v>
      </c>
      <c r="E4" t="s">
        <v>39</v>
      </c>
      <c r="F4" t="s">
        <v>40</v>
      </c>
      <c r="G4" t="s">
        <v>50</v>
      </c>
      <c r="H4" t="s">
        <v>41</v>
      </c>
      <c r="I4" t="s">
        <v>51</v>
      </c>
      <c r="J4" t="s">
        <v>52</v>
      </c>
      <c r="O4" t="s">
        <v>42</v>
      </c>
      <c r="P4">
        <f>SUM(Table1[Marks])</f>
        <v>652</v>
      </c>
    </row>
    <row r="5" spans="3:16" x14ac:dyDescent="0.3">
      <c r="C5">
        <v>11</v>
      </c>
      <c r="D5" t="s">
        <v>8</v>
      </c>
      <c r="E5">
        <v>56</v>
      </c>
      <c r="F5" t="s">
        <v>33</v>
      </c>
      <c r="G5" t="str">
        <f>IF(Table1[[#This Row],[Marks]]&gt;=40,"Pass","Fail")</f>
        <v>Pass</v>
      </c>
      <c r="H5" t="str">
        <f>IF(Table1[[#This Row],[Marks]]&gt;90,"A",IF(Table1[[#This Row],[Marks]]&gt;80,"B",IF(Table1[[#This Row],[Marks]]&gt;60,"C",IF(Table1[[#This Row],[Marks]]&gt;50,"D","F"))))</f>
        <v>D</v>
      </c>
      <c r="I5" t="b">
        <f>AND(Table1[[#This Row],[Marks]]&gt;80,Table1[[#This Row],[City]]="Mumbai")</f>
        <v>0</v>
      </c>
      <c r="J5" t="b">
        <f>OR(Table1[[#This Row],[Marks]]&gt;80,Table1[[#This Row],[City]]="Mumbai")</f>
        <v>1</v>
      </c>
      <c r="O5" t="s">
        <v>43</v>
      </c>
      <c r="P5">
        <f>SUMIF(Table1[City],"Mumbai",Table1[Marks])</f>
        <v>201</v>
      </c>
    </row>
    <row r="6" spans="3:16" x14ac:dyDescent="0.3">
      <c r="C6">
        <v>12</v>
      </c>
      <c r="D6" t="s">
        <v>25</v>
      </c>
      <c r="E6">
        <v>87</v>
      </c>
      <c r="F6" t="s">
        <v>34</v>
      </c>
      <c r="G6" t="str">
        <f>IF(Table1[[#This Row],[Marks]]&gt;=40,"Pass","Fail")</f>
        <v>Pass</v>
      </c>
      <c r="H6" t="str">
        <f>IF(Table1[[#This Row],[Marks]]&gt;90,"A",IF(Table1[[#This Row],[Marks]]&gt;80,"B",IF(Table1[[#This Row],[Marks]]&gt;60,"C",IF(Table1[[#This Row],[Marks]]&gt;50,"D","F"))))</f>
        <v>B</v>
      </c>
      <c r="I6" t="b">
        <f>AND(Table1[[#This Row],[Marks]]&gt;80,Table1[[#This Row],[City]]="Mumbai")</f>
        <v>0</v>
      </c>
      <c r="J6" t="b">
        <f>OR(Table1[[#This Row],[Marks]]&gt;80,Table1[[#This Row],[City]]="Mumbai")</f>
        <v>1</v>
      </c>
      <c r="O6" t="s">
        <v>44</v>
      </c>
      <c r="P6">
        <f>SUMIFS(Table1[Marks],Table1[City],"Mumbai",Table1[Marks],"&gt;70")</f>
        <v>89</v>
      </c>
    </row>
    <row r="7" spans="3:16" x14ac:dyDescent="0.3">
      <c r="C7">
        <v>13</v>
      </c>
      <c r="D7" t="s">
        <v>26</v>
      </c>
      <c r="E7">
        <v>89</v>
      </c>
      <c r="F7" t="s">
        <v>33</v>
      </c>
      <c r="G7" t="str">
        <f>IF(Table1[[#This Row],[Marks]]&gt;=40,"Pass","Fail")</f>
        <v>Pass</v>
      </c>
      <c r="H7" t="str">
        <f>IF(Table1[[#This Row],[Marks]]&gt;90,"A",IF(Table1[[#This Row],[Marks]]&gt;80,"B",IF(Table1[[#This Row],[Marks]]&gt;60,"C",IF(Table1[[#This Row],[Marks]]&gt;50,"D","F"))))</f>
        <v>B</v>
      </c>
      <c r="I7" t="b">
        <f>AND(Table1[[#This Row],[Marks]]&gt;80,Table1[[#This Row],[City]]="Mumbai")</f>
        <v>1</v>
      </c>
      <c r="J7" t="b">
        <f>OR(Table1[[#This Row],[Marks]]&gt;80,Table1[[#This Row],[City]]="Mumbai")</f>
        <v>1</v>
      </c>
      <c r="O7" t="s">
        <v>45</v>
      </c>
      <c r="P7">
        <f>AVERAGE(Table1[Marks])</f>
        <v>72.444444444444443</v>
      </c>
    </row>
    <row r="8" spans="3:16" x14ac:dyDescent="0.3">
      <c r="C8">
        <v>14</v>
      </c>
      <c r="D8" t="s">
        <v>27</v>
      </c>
      <c r="E8">
        <v>78</v>
      </c>
      <c r="F8" t="s">
        <v>35</v>
      </c>
      <c r="G8" t="str">
        <f>IF(Table1[[#This Row],[Marks]]&gt;=40,"Pass","Fail")</f>
        <v>Pass</v>
      </c>
      <c r="H8" t="str">
        <f>IF(Table1[[#This Row],[Marks]]&gt;90,"A",IF(Table1[[#This Row],[Marks]]&gt;80,"B",IF(Table1[[#This Row],[Marks]]&gt;60,"C",IF(Table1[[#This Row],[Marks]]&gt;50,"D","F"))))</f>
        <v>C</v>
      </c>
      <c r="I8" t="b">
        <f>AND(Table1[[#This Row],[Marks]]&gt;80,Table1[[#This Row],[City]]="Mumbai")</f>
        <v>0</v>
      </c>
      <c r="J8" t="b">
        <f>OR(Table1[[#This Row],[Marks]]&gt;80,Table1[[#This Row],[City]]="Mumbai")</f>
        <v>0</v>
      </c>
      <c r="O8" t="s">
        <v>46</v>
      </c>
      <c r="P8">
        <f>AVERAGEIF(Table1[Marks],"&gt;70")</f>
        <v>84.333333333333329</v>
      </c>
    </row>
    <row r="9" spans="3:16" x14ac:dyDescent="0.3">
      <c r="C9">
        <v>15</v>
      </c>
      <c r="D9" t="s">
        <v>28</v>
      </c>
      <c r="E9">
        <v>34</v>
      </c>
      <c r="F9" t="s">
        <v>36</v>
      </c>
      <c r="G9" t="str">
        <f>IF(Table1[[#This Row],[Marks]]&gt;=40,"Pass","Fail")</f>
        <v>Fail</v>
      </c>
      <c r="H9" t="str">
        <f>IF(Table1[[#This Row],[Marks]]&gt;90,"A",IF(Table1[[#This Row],[Marks]]&gt;80,"B",IF(Table1[[#This Row],[Marks]]&gt;60,"C",IF(Table1[[#This Row],[Marks]]&gt;50,"D","F"))))</f>
        <v>F</v>
      </c>
      <c r="I9" t="b">
        <f>AND(Table1[[#This Row],[Marks]]&gt;80,Table1[[#This Row],[City]]="Mumbai")</f>
        <v>0</v>
      </c>
      <c r="J9" t="b">
        <f>OR(Table1[[#This Row],[Marks]]&gt;80,Table1[[#This Row],[City]]="Mumbai")</f>
        <v>0</v>
      </c>
      <c r="O9" t="s">
        <v>47</v>
      </c>
      <c r="P9">
        <f>COUNT(Table1[Roll No])</f>
        <v>9</v>
      </c>
    </row>
    <row r="10" spans="3:16" x14ac:dyDescent="0.3">
      <c r="C10">
        <v>16</v>
      </c>
      <c r="D10" t="s">
        <v>29</v>
      </c>
      <c r="E10">
        <v>99</v>
      </c>
      <c r="F10" t="s">
        <v>35</v>
      </c>
      <c r="G10" t="str">
        <f>IF(Table1[[#This Row],[Marks]]&gt;=40,"Pass","Fail")</f>
        <v>Pass</v>
      </c>
      <c r="H10" t="str">
        <f>IF(Table1[[#This Row],[Marks]]&gt;90,"A",IF(Table1[[#This Row],[Marks]]&gt;80,"B",IF(Table1[[#This Row],[Marks]]&gt;60,"C",IF(Table1[[#This Row],[Marks]]&gt;50,"D","F"))))</f>
        <v>A</v>
      </c>
      <c r="I10" t="b">
        <f>AND(Table1[[#This Row],[Marks]]&gt;80,Table1[[#This Row],[City]]="Mumbai")</f>
        <v>0</v>
      </c>
      <c r="J10" t="b">
        <f>OR(Table1[[#This Row],[Marks]]&gt;80,Table1[[#This Row],[City]]="Mumbai")</f>
        <v>1</v>
      </c>
      <c r="O10" t="s">
        <v>48</v>
      </c>
      <c r="P10">
        <f>COUNTA(Table1[Roll No])</f>
        <v>9</v>
      </c>
    </row>
    <row r="11" spans="3:16" x14ac:dyDescent="0.3">
      <c r="C11">
        <v>17</v>
      </c>
      <c r="D11" t="s">
        <v>30</v>
      </c>
      <c r="E11">
        <v>77</v>
      </c>
      <c r="F11" t="s">
        <v>34</v>
      </c>
      <c r="G11" t="str">
        <f>IF(Table1[[#This Row],[Marks]]&gt;=40,"Pass","Fail")</f>
        <v>Pass</v>
      </c>
      <c r="H11" t="str">
        <f>IF(Table1[[#This Row],[Marks]]&gt;90,"A",IF(Table1[[#This Row],[Marks]]&gt;80,"B",IF(Table1[[#This Row],[Marks]]&gt;60,"C",IF(Table1[[#This Row],[Marks]]&gt;50,"D","F"))))</f>
        <v>C</v>
      </c>
      <c r="I11" t="b">
        <f>AND(Table1[[#This Row],[Marks]]&gt;80,Table1[[#This Row],[City]]="Mumbai")</f>
        <v>0</v>
      </c>
      <c r="J11" t="b">
        <f>OR(Table1[[#This Row],[Marks]]&gt;80,Table1[[#This Row],[City]]="Mumbai")</f>
        <v>0</v>
      </c>
      <c r="O11" t="s">
        <v>49</v>
      </c>
      <c r="P11">
        <f>COUNTBLANK(C5:C14)</f>
        <v>1</v>
      </c>
    </row>
    <row r="12" spans="3:16" x14ac:dyDescent="0.3">
      <c r="C12">
        <v>18</v>
      </c>
      <c r="D12" t="s">
        <v>31</v>
      </c>
      <c r="E12">
        <v>56</v>
      </c>
      <c r="F12" t="s">
        <v>33</v>
      </c>
      <c r="G12" t="str">
        <f>IF(Table1[[#This Row],[Marks]]&gt;=40,"Pass","Fail")</f>
        <v>Pass</v>
      </c>
      <c r="H12" t="str">
        <f>IF(Table1[[#This Row],[Marks]]&gt;90,"A",IF(Table1[[#This Row],[Marks]]&gt;80,"B",IF(Table1[[#This Row],[Marks]]&gt;60,"C",IF(Table1[[#This Row],[Marks]]&gt;50,"D","F"))))</f>
        <v>D</v>
      </c>
      <c r="I12" t="b">
        <f>AND(Table1[[#This Row],[Marks]]&gt;80,Table1[[#This Row],[City]]="Mumbai")</f>
        <v>0</v>
      </c>
      <c r="J12" t="b">
        <f>OR(Table1[[#This Row],[Marks]]&gt;80,Table1[[#This Row],[City]]="Mumbai")</f>
        <v>1</v>
      </c>
    </row>
    <row r="13" spans="3:16" x14ac:dyDescent="0.3">
      <c r="C13">
        <v>19</v>
      </c>
      <c r="D13" t="s">
        <v>32</v>
      </c>
      <c r="E13">
        <v>76</v>
      </c>
      <c r="F13" t="s">
        <v>35</v>
      </c>
      <c r="G13" t="str">
        <f>IF(Table1[[#This Row],[Marks]]&gt;=40,"Pass","Fail")</f>
        <v>Pass</v>
      </c>
      <c r="H13" t="str">
        <f>IF(Table1[[#This Row],[Marks]]&gt;90,"A",IF(Table1[[#This Row],[Marks]]&gt;80,"B",IF(Table1[[#This Row],[Marks]]&gt;60,"C",IF(Table1[[#This Row],[Marks]]&gt;50,"D","F"))))</f>
        <v>C</v>
      </c>
      <c r="I13" t="b">
        <f>AND(Table1[[#This Row],[Marks]]&gt;80,Table1[[#This Row],[City]]="Mumbai")</f>
        <v>0</v>
      </c>
      <c r="J13" t="b">
        <f>OR(Table1[[#This Row],[Marks]]&gt;80,Table1[[#This Row],[City]]="Mumbai")</f>
        <v>0</v>
      </c>
    </row>
    <row r="16" spans="3:16" x14ac:dyDescent="0.3">
      <c r="C16" s="4" t="s">
        <v>53</v>
      </c>
      <c r="D16" s="4"/>
    </row>
    <row r="17" spans="3:4" x14ac:dyDescent="0.3">
      <c r="C17" t="e">
        <f>6/0</f>
        <v>#DIV/0!</v>
      </c>
      <c r="D17">
        <f>IFERROR(4/0,0)</f>
        <v>0</v>
      </c>
    </row>
  </sheetData>
  <mergeCells count="1">
    <mergeCell ref="C16:D1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0E1D-9B50-4A52-8D3E-EED188315FC0}">
  <dimension ref="A1:S28"/>
  <sheetViews>
    <sheetView tabSelected="1" workbookViewId="0">
      <selection activeCell="K17" sqref="K17"/>
    </sheetView>
  </sheetViews>
  <sheetFormatPr defaultRowHeight="14.4" x14ac:dyDescent="0.3"/>
  <cols>
    <col min="1" max="1" width="10.44140625" customWidth="1"/>
    <col min="3" max="3" width="10.33203125" customWidth="1"/>
    <col min="7" max="7" width="12.44140625" customWidth="1"/>
    <col min="18" max="18" width="13.109375" customWidth="1"/>
  </cols>
  <sheetData>
    <row r="1" spans="1:19" x14ac:dyDescent="0.3">
      <c r="A1" s="8" t="s">
        <v>73</v>
      </c>
      <c r="B1" s="8" t="s">
        <v>38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</row>
    <row r="2" spans="1:19" x14ac:dyDescent="0.3">
      <c r="A2" s="1">
        <v>1001</v>
      </c>
      <c r="B2" s="1" t="s">
        <v>74</v>
      </c>
      <c r="C2" s="1" t="s">
        <v>61</v>
      </c>
      <c r="D2" s="1" t="s">
        <v>62</v>
      </c>
      <c r="E2" s="1" t="s">
        <v>63</v>
      </c>
      <c r="F2" s="1">
        <v>2024</v>
      </c>
      <c r="G2" s="1" t="s">
        <v>64</v>
      </c>
      <c r="H2" s="1">
        <v>500</v>
      </c>
      <c r="I2" s="1">
        <v>88</v>
      </c>
      <c r="L2" s="14" t="s">
        <v>84</v>
      </c>
      <c r="M2" s="15"/>
      <c r="N2" s="16"/>
      <c r="Q2" s="21" t="s">
        <v>88</v>
      </c>
      <c r="R2" s="21"/>
      <c r="S2" s="17"/>
    </row>
    <row r="3" spans="1:19" x14ac:dyDescent="0.3">
      <c r="A3" s="1">
        <v>1002</v>
      </c>
      <c r="B3" s="1" t="s">
        <v>75</v>
      </c>
      <c r="C3" s="1" t="s">
        <v>72</v>
      </c>
      <c r="D3" s="1" t="s">
        <v>70</v>
      </c>
      <c r="E3" s="1" t="s">
        <v>67</v>
      </c>
      <c r="F3" s="1">
        <v>2024</v>
      </c>
      <c r="G3" s="1" t="s">
        <v>65</v>
      </c>
      <c r="H3" s="1">
        <v>300</v>
      </c>
      <c r="I3" s="1">
        <v>75</v>
      </c>
      <c r="L3" s="11" t="s">
        <v>75</v>
      </c>
      <c r="M3" s="18"/>
      <c r="N3" s="12"/>
      <c r="Q3" s="19" t="s">
        <v>85</v>
      </c>
      <c r="R3" s="1">
        <f>INDEX(A1:I8,4,6)</f>
        <v>2024</v>
      </c>
    </row>
    <row r="4" spans="1:19" x14ac:dyDescent="0.3">
      <c r="A4" s="1">
        <v>1003</v>
      </c>
      <c r="B4" s="1" t="s">
        <v>76</v>
      </c>
      <c r="C4" s="1" t="s">
        <v>61</v>
      </c>
      <c r="D4" s="1" t="s">
        <v>62</v>
      </c>
      <c r="E4" s="1" t="s">
        <v>63</v>
      </c>
      <c r="F4" s="1">
        <v>2024</v>
      </c>
      <c r="G4" s="1" t="s">
        <v>64</v>
      </c>
      <c r="H4" s="1">
        <v>650</v>
      </c>
      <c r="I4" s="1">
        <v>95</v>
      </c>
      <c r="L4" s="11">
        <f>VLOOKUP(L3,B1:I8,M10,0)</f>
        <v>2024</v>
      </c>
      <c r="M4" s="18"/>
      <c r="N4" s="12"/>
      <c r="Q4" s="19" t="s">
        <v>87</v>
      </c>
      <c r="R4" s="1">
        <f>MATCH(L3,B1:B8,0)</f>
        <v>3</v>
      </c>
    </row>
    <row r="5" spans="1:19" x14ac:dyDescent="0.3">
      <c r="A5" s="1">
        <v>1004</v>
      </c>
      <c r="B5" s="1" t="s">
        <v>77</v>
      </c>
      <c r="C5" s="1" t="s">
        <v>61</v>
      </c>
      <c r="D5" s="1" t="s">
        <v>70</v>
      </c>
      <c r="E5" s="1" t="s">
        <v>68</v>
      </c>
      <c r="F5" s="1">
        <v>2024</v>
      </c>
      <c r="G5" s="1" t="s">
        <v>66</v>
      </c>
      <c r="H5" s="1">
        <v>400</v>
      </c>
      <c r="I5" s="1">
        <v>60</v>
      </c>
      <c r="Q5" s="19" t="s">
        <v>87</v>
      </c>
      <c r="R5" s="1">
        <f>MATCH(L3,A3:I3,0)</f>
        <v>2</v>
      </c>
    </row>
    <row r="6" spans="1:19" x14ac:dyDescent="0.3">
      <c r="A6" s="1">
        <v>1005</v>
      </c>
      <c r="B6" s="1" t="s">
        <v>78</v>
      </c>
      <c r="C6" s="1" t="s">
        <v>72</v>
      </c>
      <c r="D6" s="1" t="s">
        <v>62</v>
      </c>
      <c r="E6" s="1" t="s">
        <v>63</v>
      </c>
      <c r="F6" s="1">
        <v>2024</v>
      </c>
      <c r="G6" s="1" t="s">
        <v>64</v>
      </c>
      <c r="H6" s="1">
        <v>550</v>
      </c>
      <c r="I6" s="1">
        <v>45</v>
      </c>
      <c r="L6" s="20" t="s">
        <v>59</v>
      </c>
      <c r="M6" s="20" t="s">
        <v>60</v>
      </c>
    </row>
    <row r="7" spans="1:19" x14ac:dyDescent="0.3">
      <c r="A7" s="1">
        <v>1006</v>
      </c>
      <c r="B7" s="1" t="s">
        <v>79</v>
      </c>
      <c r="C7" s="1" t="s">
        <v>61</v>
      </c>
      <c r="D7" s="1" t="s">
        <v>62</v>
      </c>
      <c r="E7" s="1" t="s">
        <v>69</v>
      </c>
      <c r="F7" s="1">
        <v>2023</v>
      </c>
      <c r="G7" s="1" t="s">
        <v>64</v>
      </c>
      <c r="H7" s="1">
        <v>700</v>
      </c>
      <c r="I7" s="1">
        <v>82</v>
      </c>
      <c r="L7" s="1">
        <f>VLOOKUP(L3,B1:I8,8,0)</f>
        <v>75</v>
      </c>
      <c r="M7" s="1">
        <f>VLOOKUP(L3,B1:I8,7,0)</f>
        <v>300</v>
      </c>
    </row>
    <row r="8" spans="1:19" x14ac:dyDescent="0.3">
      <c r="A8" s="1">
        <v>1007</v>
      </c>
      <c r="B8" s="1" t="s">
        <v>80</v>
      </c>
      <c r="C8" s="1" t="s">
        <v>72</v>
      </c>
      <c r="D8" s="1" t="s">
        <v>71</v>
      </c>
      <c r="E8" s="1" t="s">
        <v>63</v>
      </c>
      <c r="F8" s="1">
        <v>2024</v>
      </c>
      <c r="G8" s="1" t="s">
        <v>65</v>
      </c>
      <c r="H8" s="1">
        <v>200</v>
      </c>
      <c r="I8" s="1">
        <v>67</v>
      </c>
    </row>
    <row r="9" spans="1:19" x14ac:dyDescent="0.3">
      <c r="N9" t="s">
        <v>17</v>
      </c>
    </row>
    <row r="10" spans="1:19" x14ac:dyDescent="0.3">
      <c r="M10">
        <f>MATCH(N9,B1:I1,0)</f>
        <v>5</v>
      </c>
    </row>
    <row r="12" spans="1:19" x14ac:dyDescent="0.3">
      <c r="B12" s="7" t="s">
        <v>59</v>
      </c>
      <c r="C12" s="7" t="s">
        <v>82</v>
      </c>
    </row>
    <row r="13" spans="1:19" x14ac:dyDescent="0.3">
      <c r="B13" s="6"/>
      <c r="C13" s="6">
        <v>0</v>
      </c>
      <c r="M13" s="19" t="s">
        <v>90</v>
      </c>
      <c r="N13" s="19" t="s">
        <v>89</v>
      </c>
    </row>
    <row r="14" spans="1:19" x14ac:dyDescent="0.3">
      <c r="B14" s="6">
        <v>10000</v>
      </c>
      <c r="C14" s="6">
        <v>1000</v>
      </c>
      <c r="E14" s="9" t="s">
        <v>83</v>
      </c>
      <c r="F14" s="10"/>
      <c r="M14" s="1" t="s">
        <v>91</v>
      </c>
      <c r="N14" s="1">
        <f>VLOOKUP(L3,B1:I8,N15,0)</f>
        <v>75</v>
      </c>
    </row>
    <row r="15" spans="1:19" x14ac:dyDescent="0.3">
      <c r="B15" s="6">
        <v>20000</v>
      </c>
      <c r="C15" s="6">
        <v>2000</v>
      </c>
      <c r="E15" s="11">
        <f>VLOOKUP(19000,B12:C17,2,1)</f>
        <v>1000</v>
      </c>
      <c r="F15" s="12"/>
      <c r="M15" s="1" t="s">
        <v>86</v>
      </c>
      <c r="N15" s="1">
        <f>MATCH(N13,B1:I1,0)</f>
        <v>8</v>
      </c>
    </row>
    <row r="16" spans="1:19" x14ac:dyDescent="0.3">
      <c r="B16" s="6">
        <v>30000</v>
      </c>
      <c r="C16" s="6">
        <v>4000</v>
      </c>
    </row>
    <row r="17" spans="1:12" x14ac:dyDescent="0.3">
      <c r="B17" s="6">
        <v>40000</v>
      </c>
      <c r="C17" s="6">
        <v>5000</v>
      </c>
      <c r="L17" s="13"/>
    </row>
    <row r="20" spans="1:12" x14ac:dyDescent="0.3">
      <c r="A20" s="8" t="s">
        <v>73</v>
      </c>
      <c r="B20" s="1">
        <v>1001</v>
      </c>
      <c r="C20" s="1">
        <v>1002</v>
      </c>
      <c r="D20" s="1">
        <v>1003</v>
      </c>
      <c r="E20" s="1">
        <v>1004</v>
      </c>
      <c r="F20" s="1">
        <v>1005</v>
      </c>
      <c r="G20" s="1">
        <v>1006</v>
      </c>
      <c r="H20" s="1">
        <v>1007</v>
      </c>
    </row>
    <row r="21" spans="1:12" x14ac:dyDescent="0.3">
      <c r="A21" s="8" t="s">
        <v>38</v>
      </c>
      <c r="B21" s="1" t="s">
        <v>74</v>
      </c>
      <c r="C21" s="1" t="s">
        <v>75</v>
      </c>
      <c r="D21" s="1" t="s">
        <v>76</v>
      </c>
      <c r="E21" s="1" t="s">
        <v>77</v>
      </c>
      <c r="F21" s="1" t="s">
        <v>78</v>
      </c>
      <c r="G21" s="1" t="s">
        <v>79</v>
      </c>
      <c r="H21" s="1" t="s">
        <v>80</v>
      </c>
      <c r="J21" t="s">
        <v>92</v>
      </c>
    </row>
    <row r="22" spans="1:12" x14ac:dyDescent="0.3">
      <c r="A22" s="8" t="s">
        <v>54</v>
      </c>
      <c r="B22" s="1" t="s">
        <v>61</v>
      </c>
      <c r="C22" s="1" t="s">
        <v>72</v>
      </c>
      <c r="D22" s="1" t="s">
        <v>61</v>
      </c>
      <c r="E22" s="1" t="s">
        <v>61</v>
      </c>
      <c r="F22" s="1" t="s">
        <v>72</v>
      </c>
      <c r="G22" s="1" t="s">
        <v>61</v>
      </c>
      <c r="H22" s="1" t="s">
        <v>72</v>
      </c>
      <c r="J22">
        <f>HLOOKUP("Alice",A21:H28,7,0)</f>
        <v>500</v>
      </c>
    </row>
    <row r="23" spans="1:12" x14ac:dyDescent="0.3">
      <c r="A23" s="8" t="s">
        <v>55</v>
      </c>
      <c r="B23" s="1" t="s">
        <v>62</v>
      </c>
      <c r="C23" s="1" t="s">
        <v>70</v>
      </c>
      <c r="D23" s="1" t="s">
        <v>62</v>
      </c>
      <c r="E23" s="1" t="s">
        <v>70</v>
      </c>
      <c r="F23" s="1" t="s">
        <v>62</v>
      </c>
      <c r="G23" s="1" t="s">
        <v>62</v>
      </c>
      <c r="H23" s="1" t="s">
        <v>71</v>
      </c>
    </row>
    <row r="24" spans="1:12" x14ac:dyDescent="0.3">
      <c r="A24" s="8" t="s">
        <v>56</v>
      </c>
      <c r="B24" s="1" t="s">
        <v>63</v>
      </c>
      <c r="C24" s="1" t="s">
        <v>67</v>
      </c>
      <c r="D24" s="1" t="s">
        <v>63</v>
      </c>
      <c r="E24" s="1" t="s">
        <v>68</v>
      </c>
      <c r="F24" s="1" t="s">
        <v>63</v>
      </c>
      <c r="G24" s="1" t="s">
        <v>69</v>
      </c>
      <c r="H24" s="1" t="s">
        <v>63</v>
      </c>
    </row>
    <row r="25" spans="1:12" x14ac:dyDescent="0.3">
      <c r="A25" s="8" t="s">
        <v>57</v>
      </c>
      <c r="B25" s="1">
        <v>2024</v>
      </c>
      <c r="C25" s="1">
        <v>2024</v>
      </c>
      <c r="D25" s="1">
        <v>2024</v>
      </c>
      <c r="E25" s="1">
        <v>2024</v>
      </c>
      <c r="F25" s="1">
        <v>2024</v>
      </c>
      <c r="G25" s="1">
        <v>2023</v>
      </c>
      <c r="H25" s="1">
        <v>2024</v>
      </c>
    </row>
    <row r="26" spans="1:12" x14ac:dyDescent="0.3">
      <c r="A26" s="8" t="s">
        <v>58</v>
      </c>
      <c r="B26" s="1" t="s">
        <v>64</v>
      </c>
      <c r="C26" s="1" t="s">
        <v>65</v>
      </c>
      <c r="D26" s="1" t="s">
        <v>64</v>
      </c>
      <c r="E26" s="1" t="s">
        <v>66</v>
      </c>
      <c r="F26" s="1" t="s">
        <v>64</v>
      </c>
      <c r="G26" s="1" t="s">
        <v>64</v>
      </c>
      <c r="H26" s="1" t="s">
        <v>65</v>
      </c>
    </row>
    <row r="27" spans="1:12" x14ac:dyDescent="0.3">
      <c r="A27" s="8" t="s">
        <v>81</v>
      </c>
      <c r="B27" s="1">
        <v>500</v>
      </c>
      <c r="C27" s="1">
        <v>300</v>
      </c>
      <c r="D27" s="1">
        <v>650</v>
      </c>
      <c r="E27" s="1">
        <v>400</v>
      </c>
      <c r="F27" s="1">
        <v>550</v>
      </c>
      <c r="G27" s="1">
        <v>700</v>
      </c>
      <c r="H27" s="1">
        <v>200</v>
      </c>
    </row>
    <row r="28" spans="1:12" x14ac:dyDescent="0.3">
      <c r="A28" s="8" t="s">
        <v>60</v>
      </c>
      <c r="B28" s="1">
        <v>88</v>
      </c>
      <c r="C28" s="1">
        <v>75</v>
      </c>
      <c r="D28" s="1">
        <v>95</v>
      </c>
      <c r="E28" s="1">
        <v>60</v>
      </c>
      <c r="F28" s="1">
        <v>45</v>
      </c>
      <c r="G28" s="1">
        <v>82</v>
      </c>
      <c r="H28" s="1">
        <v>67</v>
      </c>
    </row>
  </sheetData>
  <mergeCells count="6">
    <mergeCell ref="Q2:R2"/>
    <mergeCell ref="E14:F14"/>
    <mergeCell ref="E15:F15"/>
    <mergeCell ref="L3:N3"/>
    <mergeCell ref="L4:N4"/>
    <mergeCell ref="L2:N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FAD2-782B-44A3-A05D-20E5BA6C75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TEXT-FUNCTION</vt:lpstr>
      <vt:lpstr>DATE FUNCTION</vt:lpstr>
      <vt:lpstr>CONDITIONAL FUNCTION</vt:lpstr>
      <vt:lpstr>Sheet1</vt:lpstr>
      <vt:lpstr>index-match fucntion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chaudhari</dc:creator>
  <cp:lastModifiedBy>shashi chaudhari</cp:lastModifiedBy>
  <dcterms:created xsi:type="dcterms:W3CDTF">2026-10-08T14:11:31Z</dcterms:created>
  <dcterms:modified xsi:type="dcterms:W3CDTF">2026-10-12T15:19:27Z</dcterms:modified>
</cp:coreProperties>
</file>